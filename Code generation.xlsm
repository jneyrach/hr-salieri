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05" windowWidth="19020" windowHeight="1011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Q16" i="1"/>
  <c r="Q15"/>
  <c r="Q14"/>
  <c r="Q13"/>
  <c r="Q12"/>
  <c r="Q11"/>
  <c r="O16"/>
  <c r="O15"/>
  <c r="O14"/>
  <c r="O13"/>
  <c r="O12"/>
  <c r="M13"/>
  <c r="M14" s="1"/>
  <c r="M15" s="1"/>
  <c r="M16" s="1"/>
  <c r="M12"/>
  <c r="U10"/>
  <c r="C6"/>
  <c r="C5"/>
  <c r="P16"/>
  <c r="P15"/>
  <c r="P14"/>
  <c r="P13"/>
  <c r="P12"/>
  <c r="N16"/>
  <c r="N15"/>
  <c r="N14"/>
  <c r="N13"/>
  <c r="N12"/>
  <c r="L16"/>
  <c r="L15"/>
  <c r="L14"/>
  <c r="L13"/>
  <c r="L12"/>
  <c r="L11"/>
  <c r="R16"/>
  <c r="R15"/>
  <c r="R14"/>
  <c r="R13"/>
  <c r="O11"/>
  <c r="S15" l="1"/>
  <c r="S14"/>
  <c r="S13"/>
  <c r="S16"/>
  <c r="R12"/>
  <c r="S12"/>
  <c r="C16"/>
  <c r="C15"/>
  <c r="C14"/>
  <c r="C13"/>
  <c r="C12"/>
  <c r="P11" l="1"/>
  <c r="R11"/>
  <c r="S11"/>
</calcChain>
</file>

<file path=xl/sharedStrings.xml><?xml version="1.0" encoding="utf-8"?>
<sst xmlns="http://schemas.openxmlformats.org/spreadsheetml/2006/main" count="45" uniqueCount="39">
  <si>
    <t>ENTITY NAME</t>
  </si>
  <si>
    <t>PROPERTIES</t>
  </si>
  <si>
    <t>NAME</t>
  </si>
  <si>
    <t>PERIODO ASISTENCIA</t>
  </si>
  <si>
    <t>ID</t>
  </si>
  <si>
    <t>FECHA_INICIO</t>
  </si>
  <si>
    <t>FECHA_TERMINO</t>
  </si>
  <si>
    <t>DATE</t>
  </si>
  <si>
    <t>NOMBRE</t>
  </si>
  <si>
    <t>DESCRIPCION</t>
  </si>
  <si>
    <t>FECHA_APERTURA</t>
  </si>
  <si>
    <t>STRING</t>
  </si>
  <si>
    <t>TYPE</t>
  </si>
  <si>
    <t>BASE DE DATOS</t>
  </si>
  <si>
    <t>FIELD NAME</t>
  </si>
  <si>
    <t>ORACLE FIELD TYPE</t>
  </si>
  <si>
    <t>MS-SQL TYPE</t>
  </si>
  <si>
    <t>POSTGRE TYPE</t>
  </si>
  <si>
    <t>MY-SQL TYPE</t>
  </si>
  <si>
    <t>JAVA</t>
  </si>
  <si>
    <t>GETTER</t>
  </si>
  <si>
    <t>SETTER</t>
  </si>
  <si>
    <t>NORMILIZED NAME</t>
  </si>
  <si>
    <t>DATA TYPE</t>
  </si>
  <si>
    <t>GET/SET NAME</t>
  </si>
  <si>
    <t xml:space="preserve">public _data_type_ get_attr_name_() {
     return this._attr_name_2;
}
</t>
  </si>
  <si>
    <t xml:space="preserve">public void set_attr_name_(_data_type_ newValue) {
     this._attr_name_2 = newValue;
}
</t>
  </si>
  <si>
    <t>CLASS FILE</t>
  </si>
  <si>
    <t>PACKAGE NAME</t>
  </si>
  <si>
    <t>sshr.domainmodel</t>
  </si>
  <si>
    <t>CODE</t>
  </si>
  <si>
    <t>DECLARATION</t>
  </si>
  <si>
    <t>TABLE NAME</t>
  </si>
  <si>
    <t>JAVA CLASS NAME</t>
  </si>
  <si>
    <t xml:space="preserve">package _package_name_;
import sshr.domainmodel.BaseEntity;
import sshr.domainmodel.EntityAccessNotAllowedException;
import java.util.*;
import javax.xml.bind.annotation.*;
@XmlRootElement
public class _class_name_ extends BaseEntity&lt;Long&gt; {
    @XmlTransient
    public enum FIELDS {
        _DUMMY1() {
            @Override
            public int getCode() {
                return null;
            }
            @Override
            public int getOrdinal() {
                return null;
            }
            @Override
            public String getName() {
                return null;
            }
            @Override
            public String getParameterName() {
                return null;
            }
            @Override
            public String getAccessorName() {
                return null;
            }
            @Override
            public Class getClassType() {
                return null;
        },
        _DUMMY2() {
            @Override
            public int getCode() {
                return null;
            }
            @Override
            public int getOrdinal() {
                return null;
            }
            @Override
            public String getName() {
                return null;
            }
            @Override
            public String getParameterName() {
                return null;
            }
            @Override
            public String getAccessorName() {
                return null;
            }
            @Override
            public Class getClassType() {
                return null;
            }
        };
    private _class_name_() throws EntityAccessNotAllowedException {
        super();
    }
}
</t>
  </si>
  <si>
    <t>ENTITY PROPS. ENUM CODE</t>
  </si>
  <si>
    <t>SEQUENCE</t>
  </si>
  <si>
    <t xml:space="preserve">        __ATTRIBUTE_ORIGINAL_NAME_() {
            @Override
            public int getCode() {
                return _attr_sequence_;
            }
            @Override
            public int getOrdinal() {
                return _attr_sequence_;
            }
            @Override
            public String getName() {
                return "_attr_name_";
            }
            @Override
            public String getParameterName() {
                return "_attr_parameter_name_";
            }
            @Override
            public String getAccessorName() {
                return "_attr_name_first_upper_";
            }
            @Override
            public Class getClassType() {
                return _attr_data_type_.class;
            }
        },
</t>
  </si>
  <si>
    <t>LONG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</si>
</sst>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BF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U16"/>
  <sheetViews>
    <sheetView tabSelected="1" workbookViewId="0">
      <selection activeCell="I19" sqref="I19"/>
    </sheetView>
  </sheetViews>
  <sheetFormatPr defaultRowHeight="15"/>
  <cols>
    <col min="2" max="2" width="17.28515625" bestFit="1" customWidth="1"/>
    <col min="3" max="3" width="20" bestFit="1" customWidth="1"/>
    <col min="6" max="6" width="14.7109375" bestFit="1" customWidth="1"/>
    <col min="7" max="7" width="17.85546875" bestFit="1" customWidth="1"/>
    <col min="8" max="8" width="12.28515625" bestFit="1" customWidth="1"/>
    <col min="9" max="9" width="13.7109375" bestFit="1" customWidth="1"/>
    <col min="10" max="10" width="12.28515625" bestFit="1" customWidth="1"/>
    <col min="12" max="12" width="14.85546875" bestFit="1" customWidth="1"/>
    <col min="13" max="13" width="14.85546875" customWidth="1"/>
    <col min="14" max="14" width="14.140625" bestFit="1" customWidth="1"/>
    <col min="15" max="15" width="11.5703125" customWidth="1"/>
    <col min="16" max="16" width="22.42578125" bestFit="1" customWidth="1"/>
    <col min="17" max="17" width="25.5703125" bestFit="1" customWidth="1"/>
    <col min="18" max="18" width="8.7109375" customWidth="1"/>
    <col min="19" max="19" width="9.5703125" customWidth="1"/>
    <col min="20" max="20" width="10.140625" customWidth="1"/>
  </cols>
  <sheetData>
    <row r="3" spans="2:21">
      <c r="B3" t="s">
        <v>0</v>
      </c>
      <c r="C3" t="s">
        <v>3</v>
      </c>
    </row>
    <row r="4" spans="2:21">
      <c r="B4" t="s">
        <v>28</v>
      </c>
      <c r="C4" t="s">
        <v>29</v>
      </c>
    </row>
    <row r="5" spans="2:21">
      <c r="B5" t="s">
        <v>32</v>
      </c>
      <c r="C5" t="str">
        <f>SUBSTITUTE(C3," ","_")</f>
        <v>PERIODO_ASISTENCIA</v>
      </c>
    </row>
    <row r="6" spans="2:21">
      <c r="B6" t="s">
        <v>33</v>
      </c>
      <c r="C6" t="str">
        <f>SUBSTITUTE(PROPER(LOWER(C3))," ","")</f>
        <v>PeriodoAsistencia</v>
      </c>
    </row>
    <row r="8" spans="2:21">
      <c r="B8" t="s">
        <v>1</v>
      </c>
      <c r="F8" t="s">
        <v>13</v>
      </c>
      <c r="L8" t="s">
        <v>19</v>
      </c>
      <c r="P8" t="s">
        <v>30</v>
      </c>
    </row>
    <row r="9" spans="2:21">
      <c r="B9" t="s">
        <v>2</v>
      </c>
      <c r="C9" t="s">
        <v>22</v>
      </c>
      <c r="D9" t="s">
        <v>12</v>
      </c>
      <c r="F9" t="s">
        <v>14</v>
      </c>
      <c r="G9" t="s">
        <v>15</v>
      </c>
      <c r="H9" t="s">
        <v>16</v>
      </c>
      <c r="I9" t="s">
        <v>17</v>
      </c>
      <c r="J9" t="s">
        <v>18</v>
      </c>
      <c r="L9" t="s">
        <v>14</v>
      </c>
      <c r="M9" t="s">
        <v>36</v>
      </c>
      <c r="N9" t="s">
        <v>24</v>
      </c>
      <c r="O9" t="s">
        <v>23</v>
      </c>
      <c r="P9" t="s">
        <v>31</v>
      </c>
      <c r="Q9" t="s">
        <v>35</v>
      </c>
      <c r="R9" t="s">
        <v>20</v>
      </c>
      <c r="S9" t="s">
        <v>21</v>
      </c>
      <c r="T9" t="s">
        <v>27</v>
      </c>
    </row>
    <row r="10" spans="2:21" ht="15" customHeight="1">
      <c r="Q10" s="2" t="s">
        <v>37</v>
      </c>
      <c r="R10" s="1" t="s">
        <v>26</v>
      </c>
      <c r="S10" s="1" t="s">
        <v>25</v>
      </c>
      <c r="T10" s="2" t="s">
        <v>34</v>
      </c>
      <c r="U10" t="str">
        <f>SUBSTITUTE(SUBSTITUTE(T10,"_package_name_",C4),"_class_name_",C6)</f>
        <v xml:space="preserve">package sshr.domainmodel;
import sshr.domainmodel.BaseEntity;
import sshr.domainmodel.EntityAccessNotAllowedException;
import java.util.*;
import javax.xml.bind.annotation.*;
@XmlRootElement
public class PeriodoAsistencia extends BaseEntity&lt;Long&gt; {
    @XmlTransient
    public enum FIELDS {
        _DUMMY1() {
            @Override
            public int getCode() {
                return null;
            }
            @Override
            public int getOrdinal() {
                return null;
            }
            @Override
            public String getName() {
                return null;
            }
            @Override
            public String getParameterName() {
                return null;
            }
            @Override
            public String getAccessorName() {
                return null;
            }
            @Override
            public Class getClassType() {
                return null;
        },
        _DUMMY2() {
            @Override
            public int getCode() {
                return null;
            }
            @Override
            public int getOrdinal() {
                return null;
            }
            @Override
            public String getName() {
                return null;
            }
            @Override
            public String getParameterName() {
                return null;
            }
            @Override
            public String getAccessorName() {
                return null;
            }
            @Override
            public Class getClassType() {
                return null;
            }
        };
    private PeriodoAsistencia() throws EntityAccessNotAllowedException {
        super();
    }
}
</v>
      </c>
    </row>
    <row r="11" spans="2:21">
      <c r="B11" t="s">
        <v>4</v>
      </c>
      <c r="C11" t="s">
        <v>4</v>
      </c>
      <c r="D11" t="s">
        <v>38</v>
      </c>
      <c r="L11" t="str">
        <f>"_"&amp;B11</f>
        <v>_ID</v>
      </c>
      <c r="M11">
        <v>0</v>
      </c>
      <c r="N11" t="s">
        <v>4</v>
      </c>
      <c r="O11" t="str">
        <f>IF(islike(D11,"INTEGER"),"Integer",IF(islike(D11,"DATE"),"Date",IF(islike(D11,"DOUBLE"),"Double",IF(islike(D11,"STRING"),"String",IF(islike(D11,"LONG"),"Long","N/A")))))</f>
        <v>Long</v>
      </c>
      <c r="P11" t="str">
        <f>"private "&amp;O11&amp;" "&amp;L11&amp;";"</f>
        <v>private Long _ID;</v>
      </c>
      <c r="Q11" t="str">
        <f>SUBSTITUTE(SUBSTITUTE(SUBSTITUTE(SUBSTITUTE(SUBSTITUTE(SUBSTITUTE($Q$10,"_ATTRIBUTE_ORIGINAL_NAME_",B11),"_attr_sequence_",M11),"_attr_name_first_upper_",N11),"_attr_parameter_name_",L11),"_attr_name_",L11),"_attr_data_type_",O11)</f>
        <v xml:space="preserve">        _ID() {
            @Override
            public int getCode() {
                return 0;
            }
            @Override
            public int getOrdinal() {
                return 0;
            }
            @Override
            public String getName() {
                return "_ID";
            }
            @Override
            public String getParameterName() {
                return "_ID";
            }
            @Override
            public String getAccessorName() {
                return "ID";
            }
            @Override
            public Class getClassType() {
                return Long.class;
            }
        },
</v>
      </c>
      <c r="R11" t="str">
        <f>SUBSTITUTE(SUBSTITUTE(SUBSTITUTE($R$10,"_data_type_",O11),"_attr_name_2",L11),"_attr_name_",N11)</f>
        <v xml:space="preserve">public void setID(Long newValue) {
     this._ID = newValue;
}
</v>
      </c>
      <c r="S11" t="str">
        <f>SUBSTITUTE(SUBSTITUTE(SUBSTITUTE($S$10,"_data_type_",O11),"_attr_name_2",L11),"_attr_name_",N11)</f>
        <v xml:space="preserve">public Long getID() {
     return this._ID;
}
</v>
      </c>
    </row>
    <row r="12" spans="2:21">
      <c r="B12" t="s">
        <v>5</v>
      </c>
      <c r="C12" t="str">
        <f>PROPER(LOWER(SUBSTITUTE(B12,"_"," ")))</f>
        <v>Fecha Inicio</v>
      </c>
      <c r="D12" t="s">
        <v>7</v>
      </c>
      <c r="L12" t="str">
        <f>"_"&amp;SUBSTITUTE(LOWER(LEFT(C12,1))&amp;MID(C12,2,LEN(C12)-1)," ","")</f>
        <v>_fechaInicio</v>
      </c>
      <c r="M12">
        <f>1+M11</f>
        <v>1</v>
      </c>
      <c r="N12" t="str">
        <f>SUBSTITUTE(PROPER(L12),"_","")</f>
        <v>Fechainicio</v>
      </c>
      <c r="O12" t="str">
        <f>IF(islike(D12,"INTEGER"),"Integer",IF(islike(D12,"DATE"),"Date",IF(islike(D12,"DOUBLE"),"Double",IF(islike(D12,"STRING"),"String",IF(islike(D12,"LONG"),"Long","N/A")))))</f>
        <v>Date</v>
      </c>
      <c r="P12" t="str">
        <f t="shared" ref="P12:P16" si="0">"private "&amp;O12&amp;" "&amp;L12&amp;";"</f>
        <v>private Date _fechaInicio;</v>
      </c>
      <c r="Q12" t="str">
        <f t="shared" ref="Q12:Q16" si="1">SUBSTITUTE(SUBSTITUTE(SUBSTITUTE(SUBSTITUTE(SUBSTITUTE(SUBSTITUTE($Q$10,"_ATTRIBUTE_ORIGINAL_NAME_",B12),"_attr_sequence_",M12),"_attr_name_first_upper_",N12),"_attr_parameter_name_",L12),"_attr_name_",L12),"_attr_data_type_",O12)</f>
        <v xml:space="preserve">        _FECHA_INICIO() {
            @Override
            public int getCode() {
                return 1;
            }
            @Override
            public int getOrdinal() {
                return 1;
            }
            @Override
            public String getName() {
                return "_fechaInicio";
            }
            @Override
            public String getParameterName() {
                return "_fechaInicio";
            }
            @Override
            public String getAccessorName() {
                return "Fechainicio";
            }
            @Override
            public Class getClassType() {
                return Date.class;
            }
        },
</v>
      </c>
      <c r="R12" t="str">
        <f t="shared" ref="R12:R16" si="2">SUBSTITUTE(SUBSTITUTE(SUBSTITUTE($R$10,"_data_type_",O12),"_attr_name_2",L12),"_attr_name_",N12)</f>
        <v xml:space="preserve">public void setFechainicio(Date newValue) {
     this._fechaInicio = newValue;
}
</v>
      </c>
      <c r="S12" t="str">
        <f t="shared" ref="S12:S16" si="3">SUBSTITUTE(SUBSTITUTE(SUBSTITUTE($S$10,"_data_type_",O12),"_attr_name_2",L12),"_attr_name_",N12)</f>
        <v xml:space="preserve">public Date getFechainicio() {
     return this._fechaInicio;
}
</v>
      </c>
    </row>
    <row r="13" spans="2:21">
      <c r="B13" t="s">
        <v>6</v>
      </c>
      <c r="C13" t="str">
        <f t="shared" ref="C13:C16" si="4">PROPER(LOWER(SUBSTITUTE(B13,"_"," ")))</f>
        <v>Fecha Termino</v>
      </c>
      <c r="D13" t="s">
        <v>7</v>
      </c>
      <c r="L13" t="str">
        <f t="shared" ref="L13:L16" si="5">"_"&amp;SUBSTITUTE(LOWER(LEFT(C13,1))&amp;MID(C13,2,LEN(C13)-1)," ","")</f>
        <v>_fechaTermino</v>
      </c>
      <c r="M13">
        <f t="shared" ref="M13:M16" si="6">1+M12</f>
        <v>2</v>
      </c>
      <c r="N13" t="str">
        <f t="shared" ref="N13:N16" si="7">SUBSTITUTE(PROPER(L13),"_","")</f>
        <v>Fechatermino</v>
      </c>
      <c r="O13" t="str">
        <f>IF(islike(D13,"INTEGER"),"Integer",IF(islike(D13,"DATE"),"Date",IF(islike(D13,"DOUBLE"),"Double",IF(islike(D13,"STRING"),"String",IF(islike(D13,"LONG"),"Long","N/A")))))</f>
        <v>Date</v>
      </c>
      <c r="P13" t="str">
        <f t="shared" si="0"/>
        <v>private Date _fechaTermino;</v>
      </c>
      <c r="Q13" t="str">
        <f t="shared" si="1"/>
        <v xml:space="preserve">        _FECHA_TERMINO() {
            @Override
            public int getCode() {
                return 2;
            }
            @Override
            public int getOrdinal() {
                return 2;
            }
            @Override
            public String getName() {
                return "_fechaTermino";
            }
            @Override
            public String getParameterName() {
                return "_fechaTermino";
            }
            @Override
            public String getAccessorName() {
                return "Fechatermino";
            }
            @Override
            public Class getClassType() {
                return Date.class;
            }
        },
</v>
      </c>
      <c r="R13" t="str">
        <f t="shared" si="2"/>
        <v xml:space="preserve">public void setFechatermino(Date newValue) {
     this._fechaTermino = newValue;
}
</v>
      </c>
      <c r="S13" t="str">
        <f t="shared" si="3"/>
        <v xml:space="preserve">public Date getFechatermino() {
     return this._fechaTermino;
}
</v>
      </c>
    </row>
    <row r="14" spans="2:21">
      <c r="B14" t="s">
        <v>10</v>
      </c>
      <c r="C14" t="str">
        <f t="shared" si="4"/>
        <v>Fecha Apertura</v>
      </c>
      <c r="D14" t="s">
        <v>7</v>
      </c>
      <c r="L14" t="str">
        <f t="shared" si="5"/>
        <v>_fechaApertura</v>
      </c>
      <c r="M14">
        <f t="shared" si="6"/>
        <v>3</v>
      </c>
      <c r="N14" t="str">
        <f t="shared" si="7"/>
        <v>Fechaapertura</v>
      </c>
      <c r="O14" t="str">
        <f>IF(islike(D14,"INTEGER"),"Integer",IF(islike(D14,"DATE"),"Date",IF(islike(D14,"DOUBLE"),"Double",IF(islike(D14,"STRING"),"String",IF(islike(D14,"LONG"),"Long","N/A")))))</f>
        <v>Date</v>
      </c>
      <c r="P14" t="str">
        <f t="shared" si="0"/>
        <v>private Date _fechaApertura;</v>
      </c>
      <c r="Q14" t="str">
        <f t="shared" si="1"/>
        <v xml:space="preserve">        _FECHA_APERTURA() {
            @Override
            public int getCode() {
                return 3;
            }
            @Override
            public int getOrdinal() {
                return 3;
            }
            @Override
            public String getName() {
                return "_fechaApertura";
            }
            @Override
            public String getParameterName() {
                return "_fechaApertura";
            }
            @Override
            public String getAccessorName() {
                return "Fechaapertura";
            }
            @Override
            public Class getClassType() {
                return Date.class;
            }
        },
</v>
      </c>
      <c r="R14" t="str">
        <f t="shared" si="2"/>
        <v xml:space="preserve">public void setFechaapertura(Date newValue) {
     this._fechaApertura = newValue;
}
</v>
      </c>
      <c r="S14" t="str">
        <f t="shared" si="3"/>
        <v xml:space="preserve">public Date getFechaapertura() {
     return this._fechaApertura;
}
</v>
      </c>
    </row>
    <row r="15" spans="2:21">
      <c r="B15" t="s">
        <v>8</v>
      </c>
      <c r="C15" t="str">
        <f t="shared" si="4"/>
        <v>Nombre</v>
      </c>
      <c r="D15" t="s">
        <v>11</v>
      </c>
      <c r="L15" t="str">
        <f t="shared" si="5"/>
        <v>_nombre</v>
      </c>
      <c r="M15">
        <f t="shared" si="6"/>
        <v>4</v>
      </c>
      <c r="N15" t="str">
        <f t="shared" si="7"/>
        <v>Nombre</v>
      </c>
      <c r="O15" t="str">
        <f>IF(islike(D15,"INTEGER"),"Integer",IF(islike(D15,"DATE"),"Date",IF(islike(D15,"DOUBLE"),"Double",IF(islike(D15,"STRING"),"String",IF(islike(D15,"LONG"),"Long","N/A")))))</f>
        <v>String</v>
      </c>
      <c r="P15" t="str">
        <f t="shared" si="0"/>
        <v>private String _nombre;</v>
      </c>
      <c r="Q15" t="str">
        <f t="shared" si="1"/>
        <v xml:space="preserve">        _NOMBRE() {
            @Override
            public int getCode() {
                return 4;
            }
            @Override
            public int getOrdinal() {
                return 4;
            }
            @Override
            public String getName() {
                return "_nombre";
            }
            @Override
            public String getParameterName() {
                return "_nombre";
            }
            @Override
            public String getAccessorName() {
                return "Nombre";
            }
            @Override
            public Class getClassType() {
                return String.class;
            }
        },
</v>
      </c>
      <c r="R15" t="str">
        <f t="shared" si="2"/>
        <v xml:space="preserve">public void setNombre(String newValue) {
     this._nombre = newValue;
}
</v>
      </c>
      <c r="S15" t="str">
        <f t="shared" si="3"/>
        <v xml:space="preserve">public String getNombre() {
     return this._nombre;
}
</v>
      </c>
    </row>
    <row r="16" spans="2:21">
      <c r="B16" t="s">
        <v>9</v>
      </c>
      <c r="C16" t="str">
        <f t="shared" si="4"/>
        <v>Descripcion</v>
      </c>
      <c r="D16" t="s">
        <v>11</v>
      </c>
      <c r="L16" t="str">
        <f t="shared" si="5"/>
        <v>_descripcion</v>
      </c>
      <c r="M16">
        <f t="shared" si="6"/>
        <v>5</v>
      </c>
      <c r="N16" t="str">
        <f t="shared" si="7"/>
        <v>Descripcion</v>
      </c>
      <c r="O16" t="str">
        <f>IF(islike(D16,"INTEGER"),"Integer",IF(islike(D16,"DATE"),"Date",IF(islike(D16,"DOUBLE"),"Double",IF(islike(D16,"STRING"),"String",IF(islike(D16,"LONG"),"Long","N/A")))))</f>
        <v>String</v>
      </c>
      <c r="P16" t="str">
        <f t="shared" si="0"/>
        <v>private String _descripcion;</v>
      </c>
      <c r="Q16" t="str">
        <f t="shared" si="1"/>
        <v xml:space="preserve">        _DESCRIPCION() {
            @Override
            public int getCode() {
                return 5;
            }
            @Override
            public int getOrdinal() {
                return 5;
            }
            @Override
            public String getName() {
                return "_descripcion";
            }
            @Override
            public String getParameterName() {
                return "_descripcion";
            }
            @Override
            public String getAccessorName() {
                return "Descripcion";
            }
            @Override
            public Class getClassType() {
                return String.class;
            }
        },
</v>
      </c>
      <c r="R16" t="str">
        <f t="shared" si="2"/>
        <v xml:space="preserve">public void setDescripcion(String newValue) {
     this._descripcion = newValue;
}
</v>
      </c>
      <c r="S16" t="str">
        <f t="shared" si="3"/>
        <v xml:space="preserve">public String getDescripcion() {
     return this._descripcion;
}
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Experian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Rojas, Marcelo</dc:creator>
  <cp:lastModifiedBy>Rojas, Marcelo</cp:lastModifiedBy>
  <dcterms:created xsi:type="dcterms:W3CDTF">2012-06-04T19:11:38Z</dcterms:created>
  <dcterms:modified xsi:type="dcterms:W3CDTF">2012-06-04T21:21:22Z</dcterms:modified>
</cp:coreProperties>
</file>